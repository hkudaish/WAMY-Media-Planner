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hakami\Downloads\"/>
    </mc:Choice>
  </mc:AlternateContent>
  <bookViews>
    <workbookView xWindow="0" yWindow="0" windowWidth="28800" windowHeight="12225" tabRatio="500"/>
  </bookViews>
  <sheets>
    <sheet name="المهام" sheetId="1" r:id="rId1"/>
    <sheet name="نظرة عامة" sheetId="2" r:id="rId2"/>
  </sheets>
  <definedNames>
    <definedName name="_xlnm._FilterDatabase" localSheetId="0" hidden="1">المهام!$A$1:$J$39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2" l="1"/>
  <c r="E20" i="2" s="1"/>
  <c r="C20" i="2"/>
  <c r="D19" i="2"/>
  <c r="E19" i="2" s="1"/>
  <c r="C19" i="2"/>
  <c r="D18" i="2"/>
  <c r="E18" i="2" s="1"/>
  <c r="C18" i="2"/>
  <c r="D17" i="2"/>
  <c r="E17" i="2" s="1"/>
  <c r="C17" i="2"/>
  <c r="C11" i="2"/>
  <c r="C9" i="2"/>
  <c r="F6" i="2"/>
  <c r="E6" i="2"/>
  <c r="D6" i="2"/>
  <c r="C6" i="2"/>
  <c r="B6" i="2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C12" i="2" l="1"/>
</calcChain>
</file>

<file path=xl/sharedStrings.xml><?xml version="1.0" encoding="utf-8"?>
<sst xmlns="http://schemas.openxmlformats.org/spreadsheetml/2006/main" count="201" uniqueCount="78">
  <si>
    <t>م</t>
  </si>
  <si>
    <t>المنتج</t>
  </si>
  <si>
    <t>وصف المهمة</t>
  </si>
  <si>
    <t>التاريخ</t>
  </si>
  <si>
    <t>الحالة</t>
  </si>
  <si>
    <t>الفئة</t>
  </si>
  <si>
    <t>المسؤول عن المتابعة</t>
  </si>
  <si>
    <t>ملاحظات</t>
  </si>
  <si>
    <t>أيام حتى الموعد</t>
  </si>
  <si>
    <t>الوضع الزمني</t>
  </si>
  <si>
    <t>المنتج الأول — المحتوى الرقمي (188 بوست)</t>
  </si>
  <si>
    <t>تقديم 40 مقترح للمحتوى ليُغطى (الأمانة – المكاتب) بناءً على المرتكزات المتفق عليها</t>
  </si>
  <si>
    <t>لم تبدأ</t>
  </si>
  <si>
    <t>الأمانة والمكاتب</t>
  </si>
  <si>
    <t>إنتاج وتصميم 40 بوست منشور لمنصات النشر المعتمدة (عربي وإنجليزي)</t>
  </si>
  <si>
    <t>الإنتاج والتصميم</t>
  </si>
  <si>
    <t>تقديم الملاحظات النهائية على منتجات الـ40 بوست (عربي وإنجليزي)</t>
  </si>
  <si>
    <t>التسليم النهائي لمنتجات الـ40 بوست (عربي وإنجليزي) للنشر</t>
  </si>
  <si>
    <t>نشر جميع المنتجات (موقع – مجتمعات – منصات) بمتوسط منتَجين يوميًا</t>
  </si>
  <si>
    <t>يستمر 30 يومًا</t>
  </si>
  <si>
    <t>تقديم 68 مقترح للمحتوى ليُغطى (الأمانة – المكاتب) بناءً على المرتكزات المتفق عليها</t>
  </si>
  <si>
    <t>إنتاج وتصميم 68 بوست منشور لمنصات النشر المعتمدة (عربي وإنجليزي)</t>
  </si>
  <si>
    <t>تقديم الملاحظات النهائية على منتجات الـ68 بوست (عربي وإنجليزي)</t>
  </si>
  <si>
    <t>التسليم النهائي لمنتجات الـ68 بوست (عربي وإنجليزي) للنشر</t>
  </si>
  <si>
    <t>تقديم 80 مقترح للمحتوى ليُغطى (الأمانة – المكاتب) بناءً على المرتكزات المتفق عليها</t>
  </si>
  <si>
    <t>إنتاج وتصميم 80 بوست منشور لمنصات النشر المعتمدة (عربي وإنجليزي)</t>
  </si>
  <si>
    <t>تقديم الملاحظات النهائية على منتجات الـ80 بوست (عربي وإنجليزي)</t>
  </si>
  <si>
    <t>التسليم النهائي لمنتجات الـ80 بوست (عربي وإنجليزي) للنشر</t>
  </si>
  <si>
    <t>معلم رئيسي: تسليم خطة المنتج الثاني (الجزء الثاني من الخطة الزمنية)</t>
  </si>
  <si>
    <t>معلم رئيسي</t>
  </si>
  <si>
    <t>معلم</t>
  </si>
  <si>
    <t>المنتج الثاني — إنفوجرافيك معلوماتي (13)</t>
  </si>
  <si>
    <t>تقديم 13 مقترح محتوى للإنفوجرافيك ليُغطى (الأمانة – المكاتب) بناءً على المرتكزات</t>
  </si>
  <si>
    <t>إنتاج وتصميم 13 إنفوجرافيك للنشر على منصات النشر المعتمدة (عربي وإنجليزي)</t>
  </si>
  <si>
    <t>تقديم الملاحظات النهائية على منتجات الـ13 إنفوجرافيك (عربي وإنجليزي)</t>
  </si>
  <si>
    <t>التسليم النهائي لمنتجات الـ13 إنفوجرافيك (عربي وإنجليزي) للنشر</t>
  </si>
  <si>
    <t>نشر جميع منتجات الإنفوجرافيك (موقع – مجتمعات – منصات) كل يوم جمعة</t>
  </si>
  <si>
    <t>المنتج الثالث — فيلم توعوي تعريفي (3 أفلام)</t>
  </si>
  <si>
    <t>تقديم 3 مقترحات لمحتوى الفيلم لتُغطى (الأمانة – المكاتب) بناءً على المرتكزات</t>
  </si>
  <si>
    <t>كتابة 3 سيناريوهات مقترحة لأفلام منصات النشر المعتمدة</t>
  </si>
  <si>
    <t>تقديم الملاحظات النهائية على السيناريوهات الثلاثة</t>
  </si>
  <si>
    <t>تسليم الفيلم الأول، ثم تسليم فيلم من بقية الأفلام كل أسبوعين</t>
  </si>
  <si>
    <t>دورة أسبوعين لكل فيلم</t>
  </si>
  <si>
    <t>تقديم الملاحظات على الفيلم الأول، ثم كل 5 أيام لبقية الأفلام</t>
  </si>
  <si>
    <t>دورة 5 أيام</t>
  </si>
  <si>
    <t>تسليم النسخة النهائية للفيلم الأول، ثم كل أسبوعين لبقية الأفلام</t>
  </si>
  <si>
    <t>نشر الفيلم الأول، ثم نشر فيلم من بقية الأفلام في نهاية كل شهر</t>
  </si>
  <si>
    <t>يستمر 90 يومًا</t>
  </si>
  <si>
    <t>تقسيم كل فيلم إلى 4 أجزاء لتيك توك ونشرها خلال 3 أشهر لجميع الأفلام</t>
  </si>
  <si>
    <t>المنتج الرابع — تقارير استراتيجية (3 تقارير)</t>
  </si>
  <si>
    <t>تقديم 3 مقترحات لمحتوى التقارير لتُغطى (الأمانة – المكاتب) بناءً على المرتكزات</t>
  </si>
  <si>
    <t>كتابة 3 مخططات تقارير مقترحة مع تحديد إطار كل صفحة من التقارير</t>
  </si>
  <si>
    <t>تقديم الملاحظات النهائية على مخططات التقارير المقترحة</t>
  </si>
  <si>
    <t>تسليم محتوى التقرير الأول، ثم تسليم محتوى بقية التقارير كل 3 أسابيع</t>
  </si>
  <si>
    <t>دورة 3 أسابيع</t>
  </si>
  <si>
    <t>تقديم الملاحظات على التقرير الأول، ثم كل 3 أسابيع لبقية التقارير</t>
  </si>
  <si>
    <t>تسليم تصميم التقرير الأول، ثم كل 3 أسابيع لتصميم بقية التقارير</t>
  </si>
  <si>
    <t>تقديم الملاحظات على تصميم التقرير الأول، ثم كل 3 أسابيع لبقية التقارير</t>
  </si>
  <si>
    <t>تقديم النسخة النهائية للتقرير الأول، ثم كل 3 أسابيع لبقية التقارير</t>
  </si>
  <si>
    <t>طباعة التقرير وإرساله للجهات المختصة أو نشره في المنصات المعتمدة (كل شهر)</t>
  </si>
  <si>
    <t>يستمر 3 أشهر</t>
  </si>
  <si>
    <t>الخطة الزمنية لمنتجات الإعلام — الجزء الأول</t>
  </si>
  <si>
    <t>الندوة العالمية للشباب الإسلامي (وامي) · أغسطس – نوفمبر 2026</t>
  </si>
  <si>
    <t>إجمالي المهام</t>
  </si>
  <si>
    <t>مكتملة</t>
  </si>
  <si>
    <t>متبقية</t>
  </si>
  <si>
    <t>تستحق خلال 7 أيام</t>
  </si>
  <si>
    <t>متأخرة</t>
  </si>
  <si>
    <t>نسبة الإنجاز الكلية</t>
  </si>
  <si>
    <t>الوقت المنقضي من الجزء الأول</t>
  </si>
  <si>
    <t>مؤشر الالتزام بالجدول</t>
  </si>
  <si>
    <t>التقدّم حسب المنتج</t>
  </si>
  <si>
    <t>الإجمالي</t>
  </si>
  <si>
    <t>نسبة الإنجاز</t>
  </si>
  <si>
    <t>دليل الاستخدام</t>
  </si>
  <si>
    <t>• الأعمدة المظللة باللون الأصفر في ورقة «المهام» (المسؤول عن المتابعة، ملاحظات) مخصّصة للتعبئة.</t>
  </si>
  <si>
    <t>• غيّر عمود «الحالة» عبر القائمة المنسدلة (لم تبدأ / قيد التنفيذ / منجزة) — الألوان والأرقام أعلاه تتحدّث تلقائيًا.</t>
  </si>
  <si>
    <t>• عند رفع الملف إلى Google Drive وفتحه كملف Google Sheets، يمكن تحويل عمود «الحالة» إلى مربعات اختيار فعلية من: تنسيق ← التحقق من صحة البيانات ← معيار: مربع اختيار.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</si>
</sst>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.5"/>
      <name val="Arial"/>
      <charset val="1"/>
    </font>
    <font>
      <b/>
      <sz val="16"/>
      <color rgb="FF0E6B62"/>
      <name val="Arial"/>
      <charset val="1"/>
    </font>
    <font>
      <sz val="10.5"/>
      <color rgb="FF7C8B87"/>
      <name val="Arial"/>
      <charset val="1"/>
    </font>
    <font>
      <b/>
      <sz val="20"/>
      <color rgb="FF1B2624"/>
      <name val="Arial"/>
      <charset val="1"/>
    </font>
    <font>
      <b/>
      <sz val="12"/>
      <color rgb="FF1B2624"/>
      <name val="Arial"/>
      <charset val="1"/>
    </font>
    <font>
      <b/>
      <sz val="14"/>
      <color rgb="FF0E6B62"/>
      <name val="Arial"/>
      <charset val="1"/>
    </font>
    <font>
      <b/>
      <sz val="12"/>
      <name val="Arial"/>
      <charset val="1"/>
    </font>
    <font>
      <b/>
      <sz val="12"/>
      <color rgb="FF0E6B62"/>
      <name val="Arial"/>
      <charset val="1"/>
    </font>
    <font>
      <b/>
      <sz val="10.5"/>
      <color rgb="FFFFFFFF"/>
      <name val="Arial"/>
      <charset val="1"/>
    </font>
    <font>
      <i/>
      <sz val="9.5"/>
      <color rgb="FF7C8B87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E6B62"/>
        <bgColor rgb="FF008080"/>
      </patternFill>
    </fill>
    <fill>
      <patternFill patternType="solid">
        <fgColor rgb="FFFFF6CC"/>
        <bgColor rgb="FFF7EDD8"/>
      </patternFill>
    </fill>
    <fill>
      <patternFill patternType="solid">
        <fgColor rgb="FF2F7D5C"/>
        <bgColor rgb="FF0E6B62"/>
      </patternFill>
    </fill>
    <fill>
      <patternFill patternType="solid">
        <fgColor rgb="FF7C8B87"/>
        <bgColor rgb="FF969696"/>
      </patternFill>
    </fill>
    <fill>
      <patternFill patternType="solid">
        <fgColor rgb="FFB98B2E"/>
        <bgColor rgb="FF969696"/>
      </patternFill>
    </fill>
    <fill>
      <patternFill patternType="solid">
        <fgColor rgb="FFB3462F"/>
        <bgColor rgb="FF993366"/>
      </patternFill>
    </fill>
  </fills>
  <borders count="2">
    <border>
      <left/>
      <right/>
      <top/>
      <bottom/>
      <diagonal/>
    </border>
    <border>
      <left style="thin">
        <color rgb="FFD9D6C9"/>
      </left>
      <right style="thin">
        <color rgb="FFD9D6C9"/>
      </right>
      <top style="thin">
        <color rgb="FFD9D6C9"/>
      </top>
      <bottom style="thin">
        <color rgb="FFD9D6C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6" fillId="0" borderId="0" xfId="0" applyFont="1"/>
    <xf numFmtId="165" fontId="7" fillId="0" borderId="0" xfId="0" applyNumberFormat="1" applyFont="1"/>
    <xf numFmtId="165" fontId="8" fillId="0" borderId="0" xfId="0" applyNumberFormat="1" applyFont="1"/>
    <xf numFmtId="0" fontId="9" fillId="0" borderId="0" xfId="0" applyFont="1"/>
    <xf numFmtId="0" fontId="10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11" fillId="0" borderId="0" xfId="0" applyFont="1" applyBorder="1"/>
  </cellXfs>
  <cellStyles count="1">
    <cellStyle name="Normal" xfId="0" builtinId="0"/>
  </cellStyles>
  <dxfs count="3">
    <dxf>
      <fill>
        <patternFill>
          <bgColor rgb="FFF7EDD8"/>
        </patternFill>
      </fill>
    </dxf>
    <dxf>
      <fill>
        <patternFill>
          <bgColor rgb="FFF6E4DF"/>
        </patternFill>
      </fill>
    </dxf>
    <dxf>
      <fill>
        <patternFill>
          <bgColor rgb="FFE3F1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B2E"/>
      <rgbColor rgb="FF800080"/>
      <rgbColor rgb="FF0E6B62"/>
      <rgbColor rgb="FFC0C0C0"/>
      <rgbColor rgb="FF7C8B87"/>
      <rgbColor rgb="FF9999FF"/>
      <rgbColor rgb="FF993366"/>
      <rgbColor rgb="FFFFF6CC"/>
      <rgbColor rgb="FFE3F1EA"/>
      <rgbColor rgb="FF660066"/>
      <rgbColor rgb="FFFF8080"/>
      <rgbColor rgb="FF0066CC"/>
      <rgbColor rgb="FFD9D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7EDD8"/>
      <rgbColor rgb="FF99CCFF"/>
      <rgbColor rgb="FFFF99CC"/>
      <rgbColor rgb="FFCC99FF"/>
      <rgbColor rgb="FFF6E4D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F7D5C"/>
      <rgbColor rgb="FF003300"/>
      <rgbColor rgb="FF333300"/>
      <rgbColor rgb="FFB3462F"/>
      <rgbColor rgb="FF993366"/>
      <rgbColor rgb="FF333399"/>
      <rgbColor rgb="FF1B26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rightToLeft="1" tabSelected="1" zoomScaleNormal="100" workbookViewId="0">
      <pane ySplit="1" topLeftCell="A2" activePane="bottomLeft" state="frozen"/>
      <selection pane="bottomLeft" activeCell="C8" sqref="C8"/>
    </sheetView>
  </sheetViews>
  <sheetFormatPr defaultColWidth="8.7109375" defaultRowHeight="15" x14ac:dyDescent="0.25"/>
  <cols>
    <col min="1" max="1" width="6" customWidth="1"/>
    <col min="2" max="2" width="32.5703125" customWidth="1"/>
    <col min="3" max="3" width="72.28515625" customWidth="1"/>
    <col min="4" max="4" width="14.5703125" customWidth="1"/>
    <col min="5" max="5" width="11" customWidth="1"/>
    <col min="6" max="7" width="20" customWidth="1"/>
    <col min="8" max="8" width="22" customWidth="1"/>
    <col min="9" max="9" width="15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3" t="s">
        <v>11</v>
      </c>
      <c r="D2" s="4">
        <v>46261</v>
      </c>
      <c r="E2" s="2" t="s">
        <v>12</v>
      </c>
      <c r="F2" s="2" t="s">
        <v>13</v>
      </c>
      <c r="G2" s="5"/>
      <c r="H2" s="5"/>
      <c r="I2" s="6">
        <f t="shared" ref="I2:I39" ca="1" si="0">D2-TODAY()</f>
        <v>-7</v>
      </c>
      <c r="J2" s="6" t="str">
        <f t="shared" ref="J2:J39" ca="1" si="1">IF(E2="منجزة","منجزة",IF(D2&lt;TODAY(),"متأخرة",IF(D2&lt;=TODAY()+7,"تستحق قريبًا","قادمة")))</f>
        <v>متأخرة</v>
      </c>
    </row>
    <row r="3" spans="1:10" x14ac:dyDescent="0.25">
      <c r="A3" s="2">
        <v>2</v>
      </c>
      <c r="B3" s="2" t="s">
        <v>10</v>
      </c>
      <c r="C3" s="3" t="s">
        <v>14</v>
      </c>
      <c r="D3" s="4">
        <v>46271</v>
      </c>
      <c r="E3" s="2" t="s">
        <v>12</v>
      </c>
      <c r="F3" s="2" t="s">
        <v>15</v>
      </c>
      <c r="G3" s="5"/>
      <c r="H3" s="5"/>
      <c r="I3" s="6">
        <f t="shared" ca="1" si="0"/>
        <v>3</v>
      </c>
      <c r="J3" s="6" t="str">
        <f t="shared" ca="1" si="1"/>
        <v>تستحق قريبًا</v>
      </c>
    </row>
    <row r="4" spans="1:10" x14ac:dyDescent="0.25">
      <c r="A4" s="2">
        <v>3</v>
      </c>
      <c r="B4" s="2" t="s">
        <v>10</v>
      </c>
      <c r="C4" s="3" t="s">
        <v>16</v>
      </c>
      <c r="D4" s="4">
        <v>46273</v>
      </c>
      <c r="E4" s="2" t="s">
        <v>12</v>
      </c>
      <c r="F4" s="2" t="s">
        <v>13</v>
      </c>
      <c r="G4" s="5"/>
      <c r="H4" s="5"/>
      <c r="I4" s="6">
        <f t="shared" ca="1" si="0"/>
        <v>5</v>
      </c>
      <c r="J4" s="6" t="str">
        <f t="shared" ca="1" si="1"/>
        <v>تستحق قريبًا</v>
      </c>
    </row>
    <row r="5" spans="1:10" x14ac:dyDescent="0.25">
      <c r="A5" s="2">
        <v>4</v>
      </c>
      <c r="B5" s="2" t="s">
        <v>10</v>
      </c>
      <c r="C5" s="3" t="s">
        <v>17</v>
      </c>
      <c r="D5" s="4">
        <v>46278</v>
      </c>
      <c r="E5" s="2" t="s">
        <v>12</v>
      </c>
      <c r="F5" s="2" t="s">
        <v>15</v>
      </c>
      <c r="G5" s="5"/>
      <c r="H5" s="5"/>
      <c r="I5" s="6">
        <f t="shared" ca="1" si="0"/>
        <v>10</v>
      </c>
      <c r="J5" s="6" t="str">
        <f t="shared" ca="1" si="1"/>
        <v>قادمة</v>
      </c>
    </row>
    <row r="6" spans="1:10" x14ac:dyDescent="0.25">
      <c r="A6" s="2">
        <v>5</v>
      </c>
      <c r="B6" s="2" t="s">
        <v>10</v>
      </c>
      <c r="C6" s="3" t="s">
        <v>18</v>
      </c>
      <c r="D6" s="4">
        <v>46280</v>
      </c>
      <c r="E6" s="2" t="s">
        <v>12</v>
      </c>
      <c r="F6" s="2" t="s">
        <v>13</v>
      </c>
      <c r="G6" s="5"/>
      <c r="H6" s="5" t="s">
        <v>19</v>
      </c>
      <c r="I6" s="6">
        <f t="shared" ca="1" si="0"/>
        <v>12</v>
      </c>
      <c r="J6" s="6" t="str">
        <f t="shared" ca="1" si="1"/>
        <v>قادمة</v>
      </c>
    </row>
    <row r="7" spans="1:10" x14ac:dyDescent="0.25">
      <c r="A7" s="2">
        <v>6</v>
      </c>
      <c r="B7" s="2" t="s">
        <v>10</v>
      </c>
      <c r="C7" s="3" t="s">
        <v>20</v>
      </c>
      <c r="D7" s="4">
        <v>46285</v>
      </c>
      <c r="E7" s="2" t="s">
        <v>12</v>
      </c>
      <c r="F7" s="2" t="s">
        <v>13</v>
      </c>
      <c r="G7" s="5"/>
      <c r="H7" s="5"/>
      <c r="I7" s="6">
        <f t="shared" ca="1" si="0"/>
        <v>17</v>
      </c>
      <c r="J7" s="6" t="str">
        <f t="shared" ca="1" si="1"/>
        <v>قادمة</v>
      </c>
    </row>
    <row r="8" spans="1:10" x14ac:dyDescent="0.25">
      <c r="A8" s="2">
        <v>7</v>
      </c>
      <c r="B8" s="2" t="s">
        <v>10</v>
      </c>
      <c r="C8" s="3" t="s">
        <v>21</v>
      </c>
      <c r="D8" s="4">
        <v>46299</v>
      </c>
      <c r="E8" s="2" t="s">
        <v>12</v>
      </c>
      <c r="F8" s="2" t="s">
        <v>15</v>
      </c>
      <c r="G8" s="5"/>
      <c r="H8" s="5"/>
      <c r="I8" s="6">
        <f t="shared" ca="1" si="0"/>
        <v>31</v>
      </c>
      <c r="J8" s="6" t="str">
        <f t="shared" ca="1" si="1"/>
        <v>قادمة</v>
      </c>
    </row>
    <row r="9" spans="1:10" x14ac:dyDescent="0.25">
      <c r="A9" s="2">
        <v>8</v>
      </c>
      <c r="B9" s="2" t="s">
        <v>10</v>
      </c>
      <c r="C9" s="3" t="s">
        <v>22</v>
      </c>
      <c r="D9" s="4">
        <v>46303</v>
      </c>
      <c r="E9" s="2" t="s">
        <v>12</v>
      </c>
      <c r="F9" s="2" t="s">
        <v>13</v>
      </c>
      <c r="G9" s="5"/>
      <c r="H9" s="5"/>
      <c r="I9" s="6">
        <f t="shared" ca="1" si="0"/>
        <v>35</v>
      </c>
      <c r="J9" s="6" t="str">
        <f t="shared" ca="1" si="1"/>
        <v>قادمة</v>
      </c>
    </row>
    <row r="10" spans="1:10" x14ac:dyDescent="0.25">
      <c r="A10" s="2">
        <v>9</v>
      </c>
      <c r="B10" s="2" t="s">
        <v>10</v>
      </c>
      <c r="C10" s="3" t="s">
        <v>23</v>
      </c>
      <c r="D10" s="4">
        <v>46307</v>
      </c>
      <c r="E10" s="2" t="s">
        <v>12</v>
      </c>
      <c r="F10" s="2" t="s">
        <v>15</v>
      </c>
      <c r="G10" s="5"/>
      <c r="H10" s="5"/>
      <c r="I10" s="6">
        <f t="shared" ca="1" si="0"/>
        <v>39</v>
      </c>
      <c r="J10" s="6" t="str">
        <f t="shared" ca="1" si="1"/>
        <v>قادمة</v>
      </c>
    </row>
    <row r="11" spans="1:10" x14ac:dyDescent="0.25">
      <c r="A11" s="2">
        <v>10</v>
      </c>
      <c r="B11" s="2" t="s">
        <v>10</v>
      </c>
      <c r="C11" s="3" t="s">
        <v>18</v>
      </c>
      <c r="D11" s="4">
        <v>46310</v>
      </c>
      <c r="E11" s="2" t="s">
        <v>12</v>
      </c>
      <c r="F11" s="2" t="s">
        <v>13</v>
      </c>
      <c r="G11" s="5"/>
      <c r="H11" s="5" t="s">
        <v>19</v>
      </c>
      <c r="I11" s="6">
        <f t="shared" ca="1" si="0"/>
        <v>42</v>
      </c>
      <c r="J11" s="6" t="str">
        <f t="shared" ca="1" si="1"/>
        <v>قادمة</v>
      </c>
    </row>
    <row r="12" spans="1:10" x14ac:dyDescent="0.25">
      <c r="A12" s="2">
        <v>11</v>
      </c>
      <c r="B12" s="2" t="s">
        <v>10</v>
      </c>
      <c r="C12" s="3" t="s">
        <v>24</v>
      </c>
      <c r="D12" s="4">
        <v>46313</v>
      </c>
      <c r="E12" s="2" t="s">
        <v>12</v>
      </c>
      <c r="F12" s="2" t="s">
        <v>13</v>
      </c>
      <c r="G12" s="5"/>
      <c r="H12" s="5"/>
      <c r="I12" s="6">
        <f t="shared" ca="1" si="0"/>
        <v>45</v>
      </c>
      <c r="J12" s="6" t="str">
        <f t="shared" ca="1" si="1"/>
        <v>قادمة</v>
      </c>
    </row>
    <row r="13" spans="1:10" x14ac:dyDescent="0.25">
      <c r="A13" s="2">
        <v>12</v>
      </c>
      <c r="B13" s="2" t="s">
        <v>10</v>
      </c>
      <c r="C13" s="3" t="s">
        <v>25</v>
      </c>
      <c r="D13" s="4">
        <v>46329</v>
      </c>
      <c r="E13" s="2" t="s">
        <v>12</v>
      </c>
      <c r="F13" s="2" t="s">
        <v>15</v>
      </c>
      <c r="G13" s="5"/>
      <c r="H13" s="5"/>
      <c r="I13" s="6">
        <f t="shared" ca="1" si="0"/>
        <v>61</v>
      </c>
      <c r="J13" s="6" t="str">
        <f t="shared" ca="1" si="1"/>
        <v>قادمة</v>
      </c>
    </row>
    <row r="14" spans="1:10" x14ac:dyDescent="0.25">
      <c r="A14" s="2">
        <v>13</v>
      </c>
      <c r="B14" s="2" t="s">
        <v>10</v>
      </c>
      <c r="C14" s="3" t="s">
        <v>26</v>
      </c>
      <c r="D14" s="4">
        <v>46334</v>
      </c>
      <c r="E14" s="2" t="s">
        <v>12</v>
      </c>
      <c r="F14" s="2" t="s">
        <v>13</v>
      </c>
      <c r="G14" s="5"/>
      <c r="H14" s="5"/>
      <c r="I14" s="6">
        <f t="shared" ca="1" si="0"/>
        <v>66</v>
      </c>
      <c r="J14" s="6" t="str">
        <f t="shared" ca="1" si="1"/>
        <v>قادمة</v>
      </c>
    </row>
    <row r="15" spans="1:10" x14ac:dyDescent="0.25">
      <c r="A15" s="2">
        <v>14</v>
      </c>
      <c r="B15" s="2" t="s">
        <v>10</v>
      </c>
      <c r="C15" s="3" t="s">
        <v>27</v>
      </c>
      <c r="D15" s="4">
        <v>46339</v>
      </c>
      <c r="E15" s="2" t="s">
        <v>12</v>
      </c>
      <c r="F15" s="2" t="s">
        <v>15</v>
      </c>
      <c r="G15" s="5"/>
      <c r="H15" s="5"/>
      <c r="I15" s="6">
        <f t="shared" ca="1" si="0"/>
        <v>71</v>
      </c>
      <c r="J15" s="6" t="str">
        <f t="shared" ca="1" si="1"/>
        <v>قادمة</v>
      </c>
    </row>
    <row r="16" spans="1:10" x14ac:dyDescent="0.25">
      <c r="A16" s="2">
        <v>15</v>
      </c>
      <c r="B16" s="2" t="s">
        <v>10</v>
      </c>
      <c r="C16" s="3" t="s">
        <v>18</v>
      </c>
      <c r="D16" s="4">
        <v>46341</v>
      </c>
      <c r="E16" s="2" t="s">
        <v>12</v>
      </c>
      <c r="F16" s="2" t="s">
        <v>13</v>
      </c>
      <c r="G16" s="5"/>
      <c r="H16" s="5" t="s">
        <v>19</v>
      </c>
      <c r="I16" s="6">
        <f t="shared" ca="1" si="0"/>
        <v>73</v>
      </c>
      <c r="J16" s="6" t="str">
        <f t="shared" ca="1" si="1"/>
        <v>قادمة</v>
      </c>
    </row>
    <row r="17" spans="1:10" x14ac:dyDescent="0.25">
      <c r="A17" s="2">
        <v>16</v>
      </c>
      <c r="B17" s="2" t="s">
        <v>10</v>
      </c>
      <c r="C17" s="3" t="s">
        <v>28</v>
      </c>
      <c r="D17" s="4">
        <v>46343</v>
      </c>
      <c r="E17" s="2" t="s">
        <v>12</v>
      </c>
      <c r="F17" s="2" t="s">
        <v>29</v>
      </c>
      <c r="G17" s="5"/>
      <c r="H17" s="5" t="s">
        <v>30</v>
      </c>
      <c r="I17" s="6">
        <f t="shared" ca="1" si="0"/>
        <v>75</v>
      </c>
      <c r="J17" s="6" t="str">
        <f t="shared" ca="1" si="1"/>
        <v>قادمة</v>
      </c>
    </row>
    <row r="18" spans="1:10" x14ac:dyDescent="0.25">
      <c r="A18" s="2">
        <v>1</v>
      </c>
      <c r="B18" s="2" t="s">
        <v>31</v>
      </c>
      <c r="C18" s="3" t="s">
        <v>32</v>
      </c>
      <c r="D18" s="4">
        <v>46266</v>
      </c>
      <c r="E18" s="2" t="s">
        <v>12</v>
      </c>
      <c r="F18" s="2" t="s">
        <v>13</v>
      </c>
      <c r="G18" s="5"/>
      <c r="H18" s="5"/>
      <c r="I18" s="6">
        <f t="shared" ca="1" si="0"/>
        <v>-2</v>
      </c>
      <c r="J18" s="6" t="str">
        <f t="shared" ca="1" si="1"/>
        <v>متأخرة</v>
      </c>
    </row>
    <row r="19" spans="1:10" x14ac:dyDescent="0.25">
      <c r="A19" s="2">
        <v>2</v>
      </c>
      <c r="B19" s="2" t="s">
        <v>31</v>
      </c>
      <c r="C19" s="3" t="s">
        <v>33</v>
      </c>
      <c r="D19" s="4">
        <v>46277</v>
      </c>
      <c r="E19" s="2" t="s">
        <v>12</v>
      </c>
      <c r="F19" s="2" t="s">
        <v>15</v>
      </c>
      <c r="G19" s="5"/>
      <c r="H19" s="5"/>
      <c r="I19" s="6">
        <f t="shared" ca="1" si="0"/>
        <v>9</v>
      </c>
      <c r="J19" s="6" t="str">
        <f t="shared" ca="1" si="1"/>
        <v>قادمة</v>
      </c>
    </row>
    <row r="20" spans="1:10" x14ac:dyDescent="0.25">
      <c r="A20" s="2">
        <v>3</v>
      </c>
      <c r="B20" s="2" t="s">
        <v>31</v>
      </c>
      <c r="C20" s="3" t="s">
        <v>34</v>
      </c>
      <c r="D20" s="4">
        <v>46280</v>
      </c>
      <c r="E20" s="2" t="s">
        <v>12</v>
      </c>
      <c r="F20" s="2" t="s">
        <v>13</v>
      </c>
      <c r="G20" s="5"/>
      <c r="H20" s="5"/>
      <c r="I20" s="6">
        <f t="shared" ca="1" si="0"/>
        <v>12</v>
      </c>
      <c r="J20" s="6" t="str">
        <f t="shared" ca="1" si="1"/>
        <v>قادمة</v>
      </c>
    </row>
    <row r="21" spans="1:10" x14ac:dyDescent="0.25">
      <c r="A21" s="2">
        <v>4</v>
      </c>
      <c r="B21" s="2" t="s">
        <v>31</v>
      </c>
      <c r="C21" s="3" t="s">
        <v>35</v>
      </c>
      <c r="D21" s="4">
        <v>46288</v>
      </c>
      <c r="E21" s="2" t="s">
        <v>12</v>
      </c>
      <c r="F21" s="2" t="s">
        <v>15</v>
      </c>
      <c r="G21" s="5"/>
      <c r="H21" s="5"/>
      <c r="I21" s="6">
        <f t="shared" ca="1" si="0"/>
        <v>20</v>
      </c>
      <c r="J21" s="6" t="str">
        <f t="shared" ca="1" si="1"/>
        <v>قادمة</v>
      </c>
    </row>
    <row r="22" spans="1:10" x14ac:dyDescent="0.25">
      <c r="A22" s="2">
        <v>5</v>
      </c>
      <c r="B22" s="2" t="s">
        <v>31</v>
      </c>
      <c r="C22" s="3" t="s">
        <v>36</v>
      </c>
      <c r="D22" s="4">
        <v>46290</v>
      </c>
      <c r="E22" s="2" t="s">
        <v>12</v>
      </c>
      <c r="F22" s="2" t="s">
        <v>13</v>
      </c>
      <c r="G22" s="5"/>
      <c r="H22" s="5" t="s">
        <v>19</v>
      </c>
      <c r="I22" s="6">
        <f t="shared" ca="1" si="0"/>
        <v>22</v>
      </c>
      <c r="J22" s="6" t="str">
        <f t="shared" ca="1" si="1"/>
        <v>قادمة</v>
      </c>
    </row>
    <row r="23" spans="1:10" x14ac:dyDescent="0.25">
      <c r="A23" s="2">
        <v>1</v>
      </c>
      <c r="B23" s="2" t="s">
        <v>37</v>
      </c>
      <c r="C23" s="3" t="s">
        <v>38</v>
      </c>
      <c r="D23" s="4">
        <v>46266</v>
      </c>
      <c r="E23" s="2" t="s">
        <v>12</v>
      </c>
      <c r="F23" s="2" t="s">
        <v>13</v>
      </c>
      <c r="G23" s="5"/>
      <c r="H23" s="5"/>
      <c r="I23" s="6">
        <f t="shared" ca="1" si="0"/>
        <v>-2</v>
      </c>
      <c r="J23" s="6" t="str">
        <f t="shared" ca="1" si="1"/>
        <v>متأخرة</v>
      </c>
    </row>
    <row r="24" spans="1:10" x14ac:dyDescent="0.25">
      <c r="A24" s="2">
        <v>2</v>
      </c>
      <c r="B24" s="2" t="s">
        <v>37</v>
      </c>
      <c r="C24" s="3" t="s">
        <v>39</v>
      </c>
      <c r="D24" s="4">
        <v>46277</v>
      </c>
      <c r="E24" s="2" t="s">
        <v>12</v>
      </c>
      <c r="F24" s="2" t="s">
        <v>15</v>
      </c>
      <c r="G24" s="5"/>
      <c r="H24" s="5"/>
      <c r="I24" s="6">
        <f t="shared" ca="1" si="0"/>
        <v>9</v>
      </c>
      <c r="J24" s="6" t="str">
        <f t="shared" ca="1" si="1"/>
        <v>قادمة</v>
      </c>
    </row>
    <row r="25" spans="1:10" x14ac:dyDescent="0.25">
      <c r="A25" s="2">
        <v>3</v>
      </c>
      <c r="B25" s="2" t="s">
        <v>37</v>
      </c>
      <c r="C25" s="3" t="s">
        <v>40</v>
      </c>
      <c r="D25" s="4">
        <v>46280</v>
      </c>
      <c r="E25" s="2" t="s">
        <v>12</v>
      </c>
      <c r="F25" s="2" t="s">
        <v>13</v>
      </c>
      <c r="G25" s="5"/>
      <c r="H25" s="5"/>
      <c r="I25" s="6">
        <f t="shared" ca="1" si="0"/>
        <v>12</v>
      </c>
      <c r="J25" s="6" t="str">
        <f t="shared" ca="1" si="1"/>
        <v>قادمة</v>
      </c>
    </row>
    <row r="26" spans="1:10" x14ac:dyDescent="0.25">
      <c r="A26" s="2">
        <v>4</v>
      </c>
      <c r="B26" s="2" t="s">
        <v>37</v>
      </c>
      <c r="C26" s="3" t="s">
        <v>41</v>
      </c>
      <c r="D26" s="4">
        <v>46288</v>
      </c>
      <c r="E26" s="2" t="s">
        <v>12</v>
      </c>
      <c r="F26" s="2" t="s">
        <v>15</v>
      </c>
      <c r="G26" s="5"/>
      <c r="H26" s="5" t="s">
        <v>42</v>
      </c>
      <c r="I26" s="6">
        <f t="shared" ca="1" si="0"/>
        <v>20</v>
      </c>
      <c r="J26" s="6" t="str">
        <f t="shared" ca="1" si="1"/>
        <v>قادمة</v>
      </c>
    </row>
    <row r="27" spans="1:10" x14ac:dyDescent="0.25">
      <c r="A27" s="2">
        <v>5</v>
      </c>
      <c r="B27" s="2" t="s">
        <v>37</v>
      </c>
      <c r="C27" s="3" t="s">
        <v>43</v>
      </c>
      <c r="D27" s="4">
        <v>46290</v>
      </c>
      <c r="E27" s="2" t="s">
        <v>12</v>
      </c>
      <c r="F27" s="2" t="s">
        <v>13</v>
      </c>
      <c r="G27" s="5"/>
      <c r="H27" s="5" t="s">
        <v>44</v>
      </c>
      <c r="I27" s="6">
        <f t="shared" ca="1" si="0"/>
        <v>22</v>
      </c>
      <c r="J27" s="6" t="str">
        <f t="shared" ca="1" si="1"/>
        <v>قادمة</v>
      </c>
    </row>
    <row r="28" spans="1:10" x14ac:dyDescent="0.25">
      <c r="A28" s="2">
        <v>6</v>
      </c>
      <c r="B28" s="2" t="s">
        <v>37</v>
      </c>
      <c r="C28" s="3" t="s">
        <v>45</v>
      </c>
      <c r="D28" s="4">
        <v>46294</v>
      </c>
      <c r="E28" s="2" t="s">
        <v>12</v>
      </c>
      <c r="F28" s="2" t="s">
        <v>15</v>
      </c>
      <c r="G28" s="5"/>
      <c r="H28" s="5" t="s">
        <v>42</v>
      </c>
      <c r="I28" s="6">
        <f t="shared" ca="1" si="0"/>
        <v>26</v>
      </c>
      <c r="J28" s="6" t="str">
        <f t="shared" ca="1" si="1"/>
        <v>قادمة</v>
      </c>
    </row>
    <row r="29" spans="1:10" x14ac:dyDescent="0.25">
      <c r="A29" s="2">
        <v>7</v>
      </c>
      <c r="B29" s="2" t="s">
        <v>37</v>
      </c>
      <c r="C29" s="3" t="s">
        <v>46</v>
      </c>
      <c r="D29" s="4">
        <v>46295</v>
      </c>
      <c r="E29" s="2" t="s">
        <v>12</v>
      </c>
      <c r="F29" s="2" t="s">
        <v>13</v>
      </c>
      <c r="G29" s="5"/>
      <c r="H29" s="5" t="s">
        <v>47</v>
      </c>
      <c r="I29" s="6">
        <f t="shared" ca="1" si="0"/>
        <v>27</v>
      </c>
      <c r="J29" s="6" t="str">
        <f t="shared" ca="1" si="1"/>
        <v>قادمة</v>
      </c>
    </row>
    <row r="30" spans="1:10" x14ac:dyDescent="0.25">
      <c r="A30" s="2">
        <v>8</v>
      </c>
      <c r="B30" s="2" t="s">
        <v>37</v>
      </c>
      <c r="C30" s="3" t="s">
        <v>48</v>
      </c>
      <c r="D30" s="4">
        <v>46295</v>
      </c>
      <c r="E30" s="2" t="s">
        <v>12</v>
      </c>
      <c r="F30" s="2" t="s">
        <v>13</v>
      </c>
      <c r="G30" s="5"/>
      <c r="H30" s="5" t="s">
        <v>47</v>
      </c>
      <c r="I30" s="6">
        <f t="shared" ca="1" si="0"/>
        <v>27</v>
      </c>
      <c r="J30" s="6" t="str">
        <f t="shared" ca="1" si="1"/>
        <v>قادمة</v>
      </c>
    </row>
    <row r="31" spans="1:10" x14ac:dyDescent="0.25">
      <c r="A31" s="2">
        <v>1</v>
      </c>
      <c r="B31" s="2" t="s">
        <v>49</v>
      </c>
      <c r="C31" s="3" t="s">
        <v>50</v>
      </c>
      <c r="D31" s="4">
        <v>46259</v>
      </c>
      <c r="E31" s="2" t="s">
        <v>12</v>
      </c>
      <c r="F31" s="2" t="s">
        <v>13</v>
      </c>
      <c r="G31" s="5"/>
      <c r="H31" s="5"/>
      <c r="I31" s="6">
        <f t="shared" ca="1" si="0"/>
        <v>-9</v>
      </c>
      <c r="J31" s="6" t="str">
        <f t="shared" ca="1" si="1"/>
        <v>متأخرة</v>
      </c>
    </row>
    <row r="32" spans="1:10" x14ac:dyDescent="0.25">
      <c r="A32" s="2">
        <v>2</v>
      </c>
      <c r="B32" s="2" t="s">
        <v>49</v>
      </c>
      <c r="C32" s="3" t="s">
        <v>51</v>
      </c>
      <c r="D32" s="4">
        <v>46261</v>
      </c>
      <c r="E32" s="2" t="s">
        <v>12</v>
      </c>
      <c r="F32" s="2" t="s">
        <v>15</v>
      </c>
      <c r="G32" s="5"/>
      <c r="H32" s="5"/>
      <c r="I32" s="6">
        <f t="shared" ca="1" si="0"/>
        <v>-7</v>
      </c>
      <c r="J32" s="6" t="str">
        <f t="shared" ca="1" si="1"/>
        <v>متأخرة</v>
      </c>
    </row>
    <row r="33" spans="1:10" x14ac:dyDescent="0.25">
      <c r="A33" s="2">
        <v>3</v>
      </c>
      <c r="B33" s="2" t="s">
        <v>49</v>
      </c>
      <c r="C33" s="3" t="s">
        <v>52</v>
      </c>
      <c r="D33" s="4">
        <v>46263</v>
      </c>
      <c r="E33" s="2" t="s">
        <v>12</v>
      </c>
      <c r="F33" s="2" t="s">
        <v>13</v>
      </c>
      <c r="G33" s="5"/>
      <c r="H33" s="5"/>
      <c r="I33" s="6">
        <f t="shared" ca="1" si="0"/>
        <v>-5</v>
      </c>
      <c r="J33" s="6" t="str">
        <f t="shared" ca="1" si="1"/>
        <v>متأخرة</v>
      </c>
    </row>
    <row r="34" spans="1:10" x14ac:dyDescent="0.25">
      <c r="A34" s="2">
        <v>4</v>
      </c>
      <c r="B34" s="2" t="s">
        <v>49</v>
      </c>
      <c r="C34" s="3" t="s">
        <v>53</v>
      </c>
      <c r="D34" s="4">
        <v>46267</v>
      </c>
      <c r="E34" s="2" t="s">
        <v>12</v>
      </c>
      <c r="F34" s="2" t="s">
        <v>15</v>
      </c>
      <c r="G34" s="5"/>
      <c r="H34" s="5" t="s">
        <v>54</v>
      </c>
      <c r="I34" s="6">
        <f t="shared" ca="1" si="0"/>
        <v>-1</v>
      </c>
      <c r="J34" s="6" t="str">
        <f t="shared" ca="1" si="1"/>
        <v>متأخرة</v>
      </c>
    </row>
    <row r="35" spans="1:10" x14ac:dyDescent="0.25">
      <c r="A35" s="2">
        <v>5</v>
      </c>
      <c r="B35" s="2" t="s">
        <v>49</v>
      </c>
      <c r="C35" s="3" t="s">
        <v>55</v>
      </c>
      <c r="D35" s="4">
        <v>46270</v>
      </c>
      <c r="E35" s="2" t="s">
        <v>12</v>
      </c>
      <c r="F35" s="2" t="s">
        <v>13</v>
      </c>
      <c r="G35" s="5"/>
      <c r="H35" s="5" t="s">
        <v>54</v>
      </c>
      <c r="I35" s="6">
        <f t="shared" ca="1" si="0"/>
        <v>2</v>
      </c>
      <c r="J35" s="6" t="str">
        <f t="shared" ca="1" si="1"/>
        <v>تستحق قريبًا</v>
      </c>
    </row>
    <row r="36" spans="1:10" x14ac:dyDescent="0.25">
      <c r="A36" s="2">
        <v>6</v>
      </c>
      <c r="B36" s="2" t="s">
        <v>49</v>
      </c>
      <c r="C36" s="3" t="s">
        <v>56</v>
      </c>
      <c r="D36" s="4">
        <v>46280</v>
      </c>
      <c r="E36" s="2" t="s">
        <v>12</v>
      </c>
      <c r="F36" s="2" t="s">
        <v>15</v>
      </c>
      <c r="G36" s="5"/>
      <c r="H36" s="5" t="s">
        <v>54</v>
      </c>
      <c r="I36" s="6">
        <f t="shared" ca="1" si="0"/>
        <v>12</v>
      </c>
      <c r="J36" s="6" t="str">
        <f t="shared" ca="1" si="1"/>
        <v>قادمة</v>
      </c>
    </row>
    <row r="37" spans="1:10" x14ac:dyDescent="0.25">
      <c r="A37" s="2">
        <v>7</v>
      </c>
      <c r="B37" s="2" t="s">
        <v>49</v>
      </c>
      <c r="C37" s="3" t="s">
        <v>57</v>
      </c>
      <c r="D37" s="4">
        <v>46283</v>
      </c>
      <c r="E37" s="2" t="s">
        <v>12</v>
      </c>
      <c r="F37" s="2" t="s">
        <v>13</v>
      </c>
      <c r="G37" s="5"/>
      <c r="H37" s="5" t="s">
        <v>47</v>
      </c>
      <c r="I37" s="6">
        <f t="shared" ca="1" si="0"/>
        <v>15</v>
      </c>
      <c r="J37" s="6" t="str">
        <f t="shared" ca="1" si="1"/>
        <v>قادمة</v>
      </c>
    </row>
    <row r="38" spans="1:10" x14ac:dyDescent="0.25">
      <c r="A38" s="2">
        <v>8</v>
      </c>
      <c r="B38" s="2" t="s">
        <v>49</v>
      </c>
      <c r="C38" s="3" t="s">
        <v>58</v>
      </c>
      <c r="D38" s="4">
        <v>46290</v>
      </c>
      <c r="E38" s="2" t="s">
        <v>12</v>
      </c>
      <c r="F38" s="2" t="s">
        <v>15</v>
      </c>
      <c r="G38" s="5"/>
      <c r="H38" s="5" t="s">
        <v>54</v>
      </c>
      <c r="I38" s="6">
        <f t="shared" ca="1" si="0"/>
        <v>22</v>
      </c>
      <c r="J38" s="6" t="str">
        <f t="shared" ca="1" si="1"/>
        <v>قادمة</v>
      </c>
    </row>
    <row r="39" spans="1:10" x14ac:dyDescent="0.25">
      <c r="A39" s="2">
        <v>9</v>
      </c>
      <c r="B39" s="2" t="s">
        <v>49</v>
      </c>
      <c r="C39" s="3" t="s">
        <v>59</v>
      </c>
      <c r="D39" s="4">
        <v>46295</v>
      </c>
      <c r="E39" s="2" t="s">
        <v>12</v>
      </c>
      <c r="F39" s="2" t="s">
        <v>13</v>
      </c>
      <c r="G39" s="5"/>
      <c r="H39" s="5" t="s">
        <v>60</v>
      </c>
      <c r="I39" s="6">
        <f t="shared" ca="1" si="0"/>
        <v>27</v>
      </c>
      <c r="J39" s="6" t="str">
        <f t="shared" ca="1" si="1"/>
        <v>قادمة</v>
      </c>
    </row>
  </sheetData>
  <autoFilter ref="A1:J39"/>
  <conditionalFormatting sqref="A2:H39">
    <cfRule type="expression" dxfId="2" priority="2">
      <formula>$E2="منجزة"</formula>
    </cfRule>
    <cfRule type="expression" dxfId="1" priority="3">
      <formula>AND($D2&lt;TODAY(),$E2&lt;&gt;"منجزة")</formula>
    </cfRule>
    <cfRule type="expression" dxfId="0" priority="4">
      <formula>AND($D2&gt;=TODAY(),$D2&lt;=TODAY()+7,$E2&lt;&gt;"منجزة")</formula>
    </cfRule>
  </conditionalFormatting>
  <dataValidations count="1">
    <dataValidation type="list" sqref="E2:E39">
      <formula1>"لم تبدأ,قيد التنفيذ,منجزة"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"/>
  <sheetViews>
    <sheetView showGridLines="0" rightToLeft="1" zoomScaleNormal="100" workbookViewId="0"/>
  </sheetViews>
  <sheetFormatPr defaultColWidth="8.7109375" defaultRowHeight="15" x14ac:dyDescent="0.25"/>
  <cols>
    <col min="2" max="2" width="30" customWidth="1"/>
    <col min="3" max="5" width="14" customWidth="1"/>
    <col min="6" max="6" width="18" customWidth="1"/>
  </cols>
  <sheetData>
    <row r="2" spans="2:6" ht="20.25" x14ac:dyDescent="0.3">
      <c r="B2" s="7" t="s">
        <v>61</v>
      </c>
    </row>
    <row r="3" spans="2:6" x14ac:dyDescent="0.25">
      <c r="B3" s="8" t="s">
        <v>62</v>
      </c>
    </row>
    <row r="5" spans="2:6" ht="3.75" customHeight="1" x14ac:dyDescent="0.25">
      <c r="B5" s="9"/>
      <c r="C5" s="10"/>
      <c r="D5" s="11"/>
      <c r="E5" s="12"/>
      <c r="F5" s="13"/>
    </row>
    <row r="6" spans="2:6" ht="26.25" x14ac:dyDescent="0.4">
      <c r="B6" s="14">
        <f>COUNTA(المهام!$C$2:$C$39)</f>
        <v>38</v>
      </c>
      <c r="C6" s="14">
        <f>COUNTIF(المهام!$E$2:$E$39,"منجزة")</f>
        <v>0</v>
      </c>
      <c r="D6" s="14">
        <f>COUNTA(المهام!$C$2:$C$39)-COUNTIF(المهام!$E$2:$E$39,"منجزة")</f>
        <v>38</v>
      </c>
      <c r="E6" s="14">
        <f ca="1">COUNTIFS(المهام!$D$2:$D$39,"&gt;="&amp;TODAY(),المهام!$D$2:$D$39,"&lt;="&amp;TODAY()+7,المهام!$E$2:$E$39,"&lt;&gt;منجزة")</f>
        <v>3</v>
      </c>
      <c r="F6" s="14">
        <f ca="1">COUNTIFS(المهام!$D$2:$D$39,"&lt;"&amp;TODAY(),المهام!$E$2:$E$39,"&lt;&gt;منجزة")</f>
        <v>7</v>
      </c>
    </row>
    <row r="7" spans="2:6" x14ac:dyDescent="0.25">
      <c r="B7" s="15" t="s">
        <v>63</v>
      </c>
      <c r="C7" s="15" t="s">
        <v>64</v>
      </c>
      <c r="D7" s="15" t="s">
        <v>65</v>
      </c>
      <c r="E7" s="15" t="s">
        <v>66</v>
      </c>
      <c r="F7" s="15" t="s">
        <v>67</v>
      </c>
    </row>
    <row r="9" spans="2:6" ht="18" x14ac:dyDescent="0.25">
      <c r="B9" s="16" t="s">
        <v>68</v>
      </c>
      <c r="C9" s="17">
        <f>COUNTIF(المهام!$E$2:$E$39,"منجزة")/COUNTA(المهام!$C$2:$C$39)</f>
        <v>0</v>
      </c>
    </row>
    <row r="11" spans="2:6" ht="15.75" x14ac:dyDescent="0.25">
      <c r="B11" s="8" t="s">
        <v>69</v>
      </c>
      <c r="C11" s="18">
        <f ca="1">MAX(0,MIN(1,(TODAY()-DATE(2026,8,25))/(DATE(2026,11,17)-DATE(2026,8,25))))</f>
        <v>0.10714285714285714</v>
      </c>
    </row>
    <row r="12" spans="2:6" ht="15.75" x14ac:dyDescent="0.25">
      <c r="B12" s="8" t="s">
        <v>70</v>
      </c>
      <c r="C12" s="19" t="str">
        <f ca="1">IF(C9-C11&gt;=0.05,"متقدّم على الجدول",IF(C9-C11&lt;=-0.1,"متأخر عن الجدول","ملتزم بالجدول تقريبًا"))</f>
        <v>متأخر عن الجدول</v>
      </c>
    </row>
    <row r="15" spans="2:6" ht="15.75" x14ac:dyDescent="0.25">
      <c r="B15" s="16" t="s">
        <v>71</v>
      </c>
    </row>
    <row r="16" spans="2:6" x14ac:dyDescent="0.25">
      <c r="B16" s="20" t="s">
        <v>1</v>
      </c>
      <c r="C16" s="20" t="s">
        <v>72</v>
      </c>
      <c r="D16" s="20" t="s">
        <v>64</v>
      </c>
      <c r="E16" s="20" t="s">
        <v>73</v>
      </c>
    </row>
    <row r="17" spans="2:6" x14ac:dyDescent="0.25">
      <c r="B17" s="21" t="s">
        <v>10</v>
      </c>
      <c r="C17" s="21">
        <f>COUNTIF(المهام!$B$2:$B$39,$B17)</f>
        <v>16</v>
      </c>
      <c r="D17" s="21">
        <f>COUNTIFS(المهام!$B$2:$B$39,$B17,المهام!$E$2:$E$39,"منجزة")</f>
        <v>0</v>
      </c>
      <c r="E17" s="22">
        <f>D17/C17</f>
        <v>0</v>
      </c>
    </row>
    <row r="18" spans="2:6" x14ac:dyDescent="0.25">
      <c r="B18" s="21" t="s">
        <v>31</v>
      </c>
      <c r="C18" s="21">
        <f>COUNTIF(المهام!$B$2:$B$39,$B18)</f>
        <v>5</v>
      </c>
      <c r="D18" s="21">
        <f>COUNTIFS(المهام!$B$2:$B$39,$B18,المهام!$E$2:$E$39,"منجزة")</f>
        <v>0</v>
      </c>
      <c r="E18" s="22">
        <f>D18/C18</f>
        <v>0</v>
      </c>
    </row>
    <row r="19" spans="2:6" x14ac:dyDescent="0.25">
      <c r="B19" s="21" t="s">
        <v>37</v>
      </c>
      <c r="C19" s="21">
        <f>COUNTIF(المهام!$B$2:$B$39,$B19)</f>
        <v>8</v>
      </c>
      <c r="D19" s="21">
        <f>COUNTIFS(المهام!$B$2:$B$39,$B19,المهام!$E$2:$E$39,"منجزة")</f>
        <v>0</v>
      </c>
      <c r="E19" s="22">
        <f>D19/C19</f>
        <v>0</v>
      </c>
    </row>
    <row r="20" spans="2:6" x14ac:dyDescent="0.25">
      <c r="B20" s="21" t="s">
        <v>49</v>
      </c>
      <c r="C20" s="21">
        <f>COUNTIF(المهام!$B$2:$B$39,$B20)</f>
        <v>9</v>
      </c>
      <c r="D20" s="21">
        <f>COUNTIFS(المهام!$B$2:$B$39,$B20,المهام!$E$2:$E$39,"منجزة")</f>
        <v>0</v>
      </c>
      <c r="E20" s="22">
        <f>D20/C20</f>
        <v>0</v>
      </c>
    </row>
    <row r="24" spans="2:6" ht="15.75" x14ac:dyDescent="0.25">
      <c r="B24" s="16" t="s">
        <v>74</v>
      </c>
    </row>
    <row r="25" spans="2:6" x14ac:dyDescent="0.25">
      <c r="B25" s="23" t="s">
        <v>75</v>
      </c>
      <c r="C25" s="23"/>
      <c r="D25" s="23"/>
      <c r="E25" s="23"/>
      <c r="F25" s="23"/>
    </row>
    <row r="26" spans="2:6" x14ac:dyDescent="0.25">
      <c r="B26" s="23" t="s">
        <v>76</v>
      </c>
      <c r="C26" s="23"/>
      <c r="D26" s="23"/>
      <c r="E26" s="23"/>
      <c r="F26" s="23"/>
    </row>
    <row r="27" spans="2:6" x14ac:dyDescent="0.25">
      <c r="B27" s="23" t="s">
        <v>77</v>
      </c>
      <c r="C27" s="23"/>
      <c r="D27" s="23"/>
      <c r="E27" s="23"/>
      <c r="F27" s="23"/>
    </row>
  </sheetData>
  <mergeCells count="3">
    <mergeCell ref="B25:F25"/>
    <mergeCell ref="B26:F26"/>
    <mergeCell ref="B27:F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المهام</vt:lpstr>
      <vt:lpstr>نظرة عامة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Hassan Hakami</cp:lastModifiedBy>
  <cp:revision>0</cp:revision>
  <dcterms:created xsi:type="dcterms:W3CDTF">2026-08-23T12:47:12Z</dcterms:created>
  <dcterms:modified xsi:type="dcterms:W3CDTF">2026-09-03T12:40:49Z</dcterms:modified>
  <dc:language>en-US</dc:language>
</cp:coreProperties>
</file>